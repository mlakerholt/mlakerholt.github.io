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40a6af9d6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nd budget" sheetId="1" r:id="Rc9987927a1ee4aad"/>
    <x:sheet xmlns:r="http://schemas.openxmlformats.org/officeDocument/2006/relationships" name="Coverage" sheetId="2" r:id="Rc84ed78dc7014d0d"/>
    <x:sheet xmlns:r="http://schemas.openxmlformats.org/officeDocument/2006/relationships" name="Equipment quotes" sheetId="3" r:id="R1b46fc382ee644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–&quot;"/>
    <x:numFmt numFmtId="201" formatCode="#,##0.00"/>
    <x:numFmt numFmtId="202" formatCode="#,##0"/>
    <x:numFmt numFmtId="203" formatCode="0.0%"/>
    <x:numFmt numFmtId="204" formatCode="0.0000"/>
  </x:numFmts>
  <x:fonts count="6">
    <x:font>
      <x:sz val="11"/>
      <x:name val="Carlito"/>
    </x:font>
    <x:font>
      <x:sz val="11"/>
      <x:color rgb="FF202B3A"/>
      <x:name val="Arial"/>
    </x:font>
    <x:font>
      <x:b/>
      <x:sz val="16"/>
      <x:color rgb="FF202B3A"/>
      <x:name val="Arial"/>
    </x:font>
    <x:font>
      <x:b/>
      <x:sz val="11"/>
      <x:color rgb="FF202B3A"/>
      <x:name val="Arial"/>
    </x:font>
    <x:font>
      <x:b/>
      <x:sz val="11"/>
      <x:color rgb="FFFFFFFF"/>
      <x:name val="Arial"/>
    </x:font>
    <x:font>
      <x:sz val="11"/>
      <x:color rgb="FF185AB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4A68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202" fontId="5" fillId="3" borderId="0" xfId="0" applyNumberFormat="1" applyFont="1" applyFill="1" applyBorder="1"/>
    <x:xf numFmtId="203" fontId="5" fillId="3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202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0" fillId="0" borderId="0" xfId="0" applyNumberFormat="1" applyFont="1" applyFill="1" applyBorder="1"/>
    <x:xf numFmtId="200" fontId="5" fillId="3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62020"/>
      </x:font>
      <x:fill>
        <x:patternFill patternType="solid">
          <x:bgColor rgb="FFFFE0DE"/>
        </x:patternFill>
      </x:fill>
    </x:dxf>
    <x:dxf>
      <x:font>
        <x:b/>
        <x:color rgb="FFA62020"/>
      </x:font>
      <x:fill>
        <x:patternFill patternType="solid">
          <x:bgColor rgb="FFFFE0DE"/>
        </x:patternFill>
      </x:fill>
    </x:dxf>
    <x:dxf>
      <x:font>
        <x:color rgb="FFA62020"/>
      </x:font>
      <x:fill>
        <x:patternFill patternType="solid">
          <x:bgColor rgb="FFFFE0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7f872356874e15" /><Relationship Type="http://schemas.openxmlformats.org/officeDocument/2006/relationships/theme" Target="/xl/theme/theme1.xml" Id="R44a151acc1f34cea" /><Relationship Type="http://schemas.openxmlformats.org/officeDocument/2006/relationships/sharedStrings" Target="/xl/sharedStrings.xml" Id="R613e5cb7ff204cb0" /><Relationship Type="http://schemas.openxmlformats.org/officeDocument/2006/relationships/worksheet" Target="/xl/worksheets/sheet1.xml" Id="Rc9987927a1ee4aad" /><Relationship Type="http://schemas.openxmlformats.org/officeDocument/2006/relationships/worksheet" Target="/xl/worksheets/sheet2.xml" Id="Rc84ed78dc7014d0d" /><Relationship Type="http://schemas.openxmlformats.org/officeDocument/2006/relationships/worksheet" Target="/xl/worksheets/sheet3.xml" Id="R1b46fc382ee644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54A68"/>
  </x:sheetPr>
  <x:sheetViews>
    <x:sheetView showGridLines="0" workbookViewId="0"/>
  </x:sheetViews>
  <x:sheetFormatPr defaultRowHeight="15"/>
  <x:cols>
    <x:col min="1" max="1" width="49" hidden="0" customWidth="1"/>
    <x:col min="2" max="2" width="19" hidden="0" customWidth="1"/>
    <x:col min="3" max="3" width="18" hidden="0" customWidth="1"/>
    <x:col min="4" max="4" width="3" hidden="0" customWidth="1"/>
    <x:col min="5" max="5" width="69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Round budget and capacity</x:v>
      </x:c>
      <x:c r="B2" s="1"/>
      <x:c r="C2" s="1"/>
      <x:c r="D2" s="1"/>
      <x:c r="E2" s="1"/>
      <x:c r="F2" s="1"/>
    </x:row>
    <x:row r="3" ht="23" customHeight="1">
      <x:c r="A3" s="1" t="str">
        <x:v>Illustrative NOK inputs. Replace with local costs.</x:v>
      </x:c>
      <x:c r="B3" s="1"/>
      <x:c r="C3" s="1"/>
      <x:c r="D3" s="1"/>
      <x:c r="E3" s="1" t="str">
        <x:v>Source: teaching assumptions, 9 September 2026; no vendor quotes.</x:v>
      </x:c>
      <x:c r="F3" s="1"/>
    </x:row>
    <x:row r="4" ht="23" customHeight="1">
      <x:c r="A4" s="1"/>
      <x:c r="B4" s="1"/>
      <x:c r="C4" s="1"/>
      <x:c r="D4" s="1"/>
      <x:c r="E4" s="1" t="str">
        <x:v>Recurring costs only; acquisition costs stay on Equipment quotes.</x:v>
      </x:c>
      <x:c r="F4" s="1"/>
    </x:row>
    <x:row r="5" ht="23" customHeight="1">
      <x:c r="A5" s="3" t="str">
        <x:v>Planned distinct clones</x:v>
      </x:c>
      <x:c r="B5" s="3" t="n">
        <x:f>B40</x:f>
        <x:v>160</x:v>
      </x:c>
      <x:c r="C5" s="1"/>
      <x:c r="D5" s="1"/>
      <x:c r="E5" s="1"/>
      <x:c r="F5" s="1"/>
    </x:row>
    <x:row r="6" ht="23" customHeight="1">
      <x:c r="A6" s="3" t="str">
        <x:v>Expected usable distinct clones</x:v>
      </x:c>
      <x:c r="B6" s="3" t="n">
        <x:f>B41</x:f>
        <x:v>144</x:v>
      </x:c>
      <x:c r="C6" s="1"/>
      <x:c r="D6" s="1"/>
      <x:c r="E6" s="1"/>
      <x:c r="F6" s="1"/>
    </x:row>
    <x:row r="7" ht="23" customHeight="1">
      <x:c r="A7" s="3" t="str">
        <x:v>Total round cost (NOK)</x:v>
      </x:c>
      <x:c r="B7" s="4" t="n">
        <x:f>B54</x:f>
        <x:v>22869</x:v>
      </x:c>
      <x:c r="C7" s="1"/>
      <x:c r="D7" s="1"/>
      <x:c r="E7" s="1"/>
      <x:c r="F7" s="1"/>
    </x:row>
    <x:row r="8" ht="23" customHeight="1">
      <x:c r="A8" s="3" t="str">
        <x:v>Cost per usable clone (NOK)</x:v>
      </x:c>
      <x:c r="B8" s="4" t="n">
        <x:f>IF(ISNUMBER(B41),B54/B41,"n.a.")</x:f>
        <x:v>158.8125</x:v>
      </x:c>
      <x:c r="C8" s="1"/>
      <x:c r="D8" s="1"/>
      <x:c r="E8" s="1"/>
      <x:c r="F8" s="1"/>
    </x:row>
    <x:row r="9" ht="23" customHeight="1">
      <x:c r="A9" s="1"/>
      <x:c r="B9" s="1"/>
      <x:c r="C9" s="1"/>
      <x:c r="D9" s="1"/>
      <x:c r="E9" s="1"/>
      <x:c r="F9" s="1"/>
    </x:row>
    <x:row r="10" ht="23" customHeight="1">
      <x:c r="A10" s="1"/>
      <x:c r="B10" s="1"/>
      <x:c r="C10" s="1"/>
      <x:c r="D10" s="1"/>
      <x:c r="E10" s="1"/>
      <x:c r="F10" s="1"/>
    </x:row>
    <x:row r="11" ht="25" customHeight="1">
      <x:c r="A11" s="6" t="str">
        <x:v>Editable assumption</x:v>
      </x:c>
      <x:c r="B11" s="6" t="str">
        <x:v>Value</x:v>
      </x:c>
      <x:c r="C11" s="6" t="str">
        <x:v>Unit</x:v>
      </x:c>
      <x:c r="D11" s="1"/>
      <x:c r="E11" s="1"/>
      <x:c r="F11" s="1"/>
    </x:row>
    <x:row r="12" ht="23" customHeight="1">
      <x:c r="A12" s="1" t="str">
        <x:v>Primary assay plates</x:v>
      </x:c>
      <x:c r="B12" s="10" t="n">
        <x:v>4</x:v>
      </x:c>
      <x:c r="C12" s="1" t="str">
        <x:v>plates</x:v>
      </x:c>
      <x:c r="D12" s="1"/>
      <x:c r="E12" s="1" t="str">
        <x:v>Batches for the primary screen.</x:v>
      </x:c>
      <x:c r="F12" s="1"/>
    </x:row>
    <x:row r="13" ht="23" customHeight="1">
      <x:c r="A13" s="1" t="str">
        <x:v>Wells per assay plate</x:v>
      </x:c>
      <x:c r="B13" s="10" t="n">
        <x:v>96</x:v>
      </x:c>
      <x:c r="C13" s="1" t="str">
        <x:v>wells</x:v>
      </x:c>
      <x:c r="D13" s="1"/>
      <x:c r="E13" s="1" t="str">
        <x:v>Select a supported format and validate it experimentally.</x:v>
      </x:c>
      <x:c r="F13" s="1"/>
    </x:row>
    <x:row r="14" ht="23" customHeight="1">
      <x:c r="A14" s="1" t="str">
        <x:v>Controls per assay plate</x:v>
      </x:c>
      <x:c r="B14" s="10" t="n">
        <x:v>16</x:v>
      </x:c>
      <x:c r="C14" s="1" t="str">
        <x:v>wells</x:v>
      </x:c>
      <x:c r="D14" s="1"/>
      <x:c r="E14" s="1" t="str">
        <x:v>Reserved wells per plate, also applied to repeat plates.</x:v>
      </x:c>
      <x:c r="F14" s="1"/>
    </x:row>
    <x:row r="15" ht="23" customHeight="1">
      <x:c r="A15" s="1" t="str">
        <x:v>Technical wells per preparation</x:v>
      </x:c>
      <x:c r="B15" s="10" t="n">
        <x:v>2</x:v>
      </x:c>
      <x:c r="C15" s="1" t="str">
        <x:v>wells</x:v>
      </x:c>
      <x:c r="D15" s="1"/>
      <x:c r="E15" s="1" t="str">
        <x:v>Two reads from one preparation are not biological replication.</x:v>
      </x:c>
      <x:c r="F15" s="1"/>
    </x:row>
    <x:row r="16" ht="23" customHeight="1">
      <x:c r="A16" s="1" t="str">
        <x:v>Preparations per distinct clone</x:v>
      </x:c>
      <x:c r="B16" s="10" t="n">
        <x:v>1</x:v>
      </x:c>
      <x:c r="C16" s="1" t="str">
        <x:v>preparations</x:v>
      </x:c>
      <x:c r="D16" s="1"/>
      <x:c r="E16" s="1" t="str">
        <x:v>Independent preparations included in primary screening.</x:v>
      </x:c>
      <x:c r="F16" s="1"/>
    </x:row>
    <x:row r="17" ht="23" customHeight="1">
      <x:c r="A17" s="1" t="str">
        <x:v>Usable distinct fraction after repeats</x:v>
      </x:c>
      <x:c r="B17" s="11" t="n">
        <x:v>0.9</x:v>
      </x:c>
      <x:c r="C17" s="1" t="str">
        <x:v>fraction</x:v>
      </x:c>
      <x:c r="D17" s="1"/>
      <x:c r="E17" s="1" t="str">
        <x:v>Expected fraction of primary clones with usable results.</x:v>
      </x:c>
      <x:c r="F17" s="1"/>
    </x:row>
    <x:row r="18" ht="23" customHeight="1">
      <x:c r="A18" s="1" t="str">
        <x:v>Repeat assay plates</x:v>
      </x:c>
      <x:c r="B18" s="10" t="n">
        <x:v>1</x:v>
      </x:c>
      <x:c r="C18" s="1" t="str">
        <x:v>plates</x:v>
      </x:c>
      <x:c r="D18" s="1"/>
      <x:c r="E18" s="1" t="str">
        <x:v>Allowance for re-preparation and remeasurement; not new diversity.</x:v>
      </x:c>
      <x:c r="F18" s="1"/>
    </x:row>
    <x:row r="19" ht="23" customHeight="1">
      <x:c r="A19" s="1" t="str">
        <x:v>Candidates entering confirmation</x:v>
      </x:c>
      <x:c r="B19" s="10" t="n">
        <x:v>8</x:v>
      </x:c>
      <x:c r="C19" s="1" t="str">
        <x:v>clones</x:v>
      </x:c>
      <x:c r="D19" s="1"/>
      <x:c r="E19" s="1" t="str">
        <x:v>This is a budget input, not a predicted hit rate.</x:v>
      </x:c>
      <x:c r="F19" s="1"/>
    </x:row>
    <x:row r="20" ht="23" customHeight="1">
      <x:c r="A20" s="1" t="str">
        <x:v>Independent confirmations per candidate</x:v>
      </x:c>
      <x:c r="B20" s="10" t="n">
        <x:v>3</x:v>
      </x:c>
      <x:c r="C20" s="1" t="str">
        <x:v>preparations</x:v>
      </x:c>
      <x:c r="D20" s="1"/>
      <x:c r="E20" s="1" t="str">
        <x:v>Independent cultures/preparations for confirmation.</x:v>
      </x:c>
      <x:c r="F20" s="1"/>
    </x:row>
    <x:row r="21" ht="23" customHeight="1">
      <x:c r="A21" s="1" t="str">
        <x:v>Total hands-on labor</x:v>
      </x:c>
      <x:c r="B21" s="9" t="n">
        <x:v>24</x:v>
      </x:c>
      <x:c r="C21" s="1" t="str">
        <x:v>hours</x:v>
      </x:c>
      <x:c r="D21" s="1"/>
      <x:c r="E21" s="1" t="str">
        <x:v>Include picking, preparation, analysis, recovery and confirmation.</x:v>
      </x:c>
      <x:c r="F21" s="1"/>
    </x:row>
    <x:row r="22" ht="23" customHeight="1">
      <x:c r="A22" s="1" t="str">
        <x:v>Labor cost</x:v>
      </x:c>
      <x:c r="B22" s="9" t="n">
        <x:v>450</x:v>
      </x:c>
      <x:c r="C22" s="1" t="str">
        <x:v>NOK/hour</x:v>
      </x:c>
      <x:c r="D22" s="1"/>
      <x:c r="E22" s="1" t="str">
        <x:v>Illustrative loaded labor cost; replace.</x:v>
      </x:c>
      <x:c r="F22" s="1"/>
    </x:row>
    <x:row r="23" ht="23" customHeight="1">
      <x:c r="A23" s="1" t="str">
        <x:v>Culture and preparation cost</x:v>
      </x:c>
      <x:c r="B23" s="9" t="n">
        <x:v>20</x:v>
      </x:c>
      <x:c r="C23" s="1" t="str">
        <x:v>NOK/prep</x:v>
      </x:c>
      <x:c r="D23" s="1"/>
      <x:c r="E23" s="1" t="str">
        <x:v>Excludes assay wells and labor.</x:v>
      </x:c>
      <x:c r="F23" s="1"/>
    </x:row>
    <x:row r="24" ht="23" customHeight="1">
      <x:c r="A24" s="1" t="str">
        <x:v>Assay cost per occupied well</x:v>
      </x:c>
      <x:c r="B24" s="9" t="n">
        <x:v>3</x:v>
      </x:c>
      <x:c r="C24" s="1" t="str">
        <x:v>NOK/well</x:v>
      </x:c>
      <x:c r="D24" s="1"/>
      <x:c r="E24" s="1" t="str">
        <x:v>Includes plate/tips/substrate; applies conservatively to all wells.</x:v>
      </x:c>
      <x:c r="F24" s="1"/>
    </x:row>
    <x:row r="25" ht="23" customHeight="1">
      <x:c r="A25" s="1" t="str">
        <x:v>Library construction reagents</x:v>
      </x:c>
      <x:c r="B25" s="9" t="n">
        <x:v>1500</x:v>
      </x:c>
      <x:c r="C25" s="1" t="str">
        <x:v>NOK/round</x:v>
      </x:c>
      <x:c r="D25" s="1"/>
      <x:c r="E25" s="1" t="str">
        <x:v>Primers and construction reagents, excludes labor.</x:v>
      </x:c>
      <x:c r="F25" s="1"/>
    </x:row>
    <x:row r="26" ht="23" customHeight="1">
      <x:c r="A26" s="1" t="str">
        <x:v>Sequencing per confirmation candidate</x:v>
      </x:c>
      <x:c r="B26" s="9" t="n">
        <x:v>100</x:v>
      </x:c>
      <x:c r="C26" s="1" t="str">
        <x:v>NOK/clone</x:v>
      </x:c>
      <x:c r="D26" s="1"/>
      <x:c r="E26" s="1" t="str">
        <x:v>Budget sufficient reads to verify the coding region.</x:v>
      </x:c>
      <x:c r="F26" s="1"/>
    </x:row>
    <x:row r="27" ht="23" customHeight="1">
      <x:c r="A27" s="1" t="str">
        <x:v>Confirmation consumables</x:v>
      </x:c>
      <x:c r="B27" s="9" t="n">
        <x:v>75</x:v>
      </x:c>
      <x:c r="C27" s="1" t="str">
        <x:v>NOK/prep</x:v>
      </x:c>
      <x:c r="D27" s="1"/>
      <x:c r="E27" s="1" t="str">
        <x:v>Includes confirmatory culture, preparation and assay; excludes labor.</x:v>
      </x:c>
      <x:c r="F27" s="1"/>
    </x:row>
    <x:row r="28" ht="23" customHeight="1">
      <x:c r="A28" s="1" t="str">
        <x:v>Reader access cost</x:v>
      </x:c>
      <x:c r="B28" s="9" t="n">
        <x:v>150</x:v>
      </x:c>
      <x:c r="C28" s="1" t="str">
        <x:v>NOK/hour</x:v>
      </x:c>
      <x:c r="D28" s="1"/>
      <x:c r="E28" s="1" t="str">
        <x:v>Use incremental operating cost if already owned.</x:v>
      </x:c>
      <x:c r="F28" s="1"/>
    </x:row>
    <x:row r="29" ht="23" customHeight="1">
      <x:c r="A29" s="1" t="str">
        <x:v>Reader booking time</x:v>
      </x:c>
      <x:c r="B29" s="9" t="n">
        <x:v>3</x:v>
      </x:c>
      <x:c r="C29" s="1" t="str">
        <x:v>hours</x:v>
      </x:c>
      <x:c r="D29" s="1"/>
      <x:c r="E29" s="1" t="str">
        <x:v>Include repeats and confirmation if performed on this reader.</x:v>
      </x:c>
      <x:c r="F29" s="1"/>
    </x:row>
    <x:row r="30" ht="23" customHeight="1">
      <x:c r="A30" s="1" t="str">
        <x:v>Contingency</x:v>
      </x:c>
      <x:c r="B30" s="11" t="n">
        <x:v>0.1</x:v>
      </x:c>
      <x:c r="C30" s="1" t="str">
        <x:v>fraction</x:v>
      </x:c>
      <x:c r="D30" s="1"/>
      <x:c r="E30" s="1" t="str">
        <x:v>Applied to modeled recurring costs.</x:v>
      </x:c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 t="str">
        <x:v>Input status</x:v>
      </x:c>
      <x:c r="B33" s="1" t="str">
        <x:f>IF(COUNT(B12:B30)&lt;&gt;19,"Missing input",IF(OR(B12&lt;1,B13&lt;1,B14&lt;0,B14&gt;=B13,B15&lt;1,B16&lt;1,B17&lt;=0,B17&gt;1,B18&lt;0,B19&lt;0,B20&lt;1,MIN(B21:B30)&lt;0,B12&lt;&gt;INT(B12),B13&lt;&gt;INT(B13),B14&lt;&gt;INT(B14),B15&lt;&gt;INT(B15),B16&lt;&gt;INT(B16),B18&lt;&gt;INT(B18),B19&lt;&gt;INT(B19),B20&lt;&gt;INT(B20),(B13-B14)&lt;B15*B16),"Invalid input","Ready"))</x:f>
        <x:v>Ready</x:v>
      </x:c>
      <x:c r="C33" s="1"/>
      <x:c r="D33" s="1"/>
      <x:c r="E33" s="1"/>
      <x:c r="F33" s="1"/>
    </x:row>
    <x:row r="34" ht="23" customHeight="1">
      <x:c r="A34" s="1"/>
      <x:c r="B34" s="1"/>
      <x:c r="C34" s="1"/>
      <x:c r="D34" s="1"/>
      <x:c r="E34" s="1"/>
      <x:c r="F34" s="1"/>
    </x:row>
    <x:row r="35" ht="25" customHeight="1">
      <x:c r="A35" s="6" t="str">
        <x:v>Capacity calculation</x:v>
      </x:c>
      <x:c r="B35" s="6" t="str">
        <x:v>Result</x:v>
      </x:c>
      <x:c r="C35" s="6" t="str">
        <x:v>Unit</x:v>
      </x:c>
      <x:c r="D35" s="1"/>
      <x:c r="E35" s="1"/>
      <x:c r="F35" s="1"/>
    </x:row>
    <x:row r="36" ht="23" customHeight="1">
      <x:c r="A36" s="1" t="str">
        <x:v>Primary assay wells</x:v>
      </x:c>
      <x:c r="B36" s="1" t="n">
        <x:f>IF(B33="Ready",B12*B13,"n.a.")</x:f>
        <x:v>384</x:v>
      </x:c>
      <x:c r="C36" s="1" t="str">
        <x:v>wells</x:v>
      </x:c>
      <x:c r="D36" s="1"/>
      <x:c r="E36" s="1"/>
      <x:c r="F36" s="1"/>
    </x:row>
    <x:row r="37" ht="23" customHeight="1">
      <x:c r="A37" s="1" t="str">
        <x:v>Repeat assay wells</x:v>
      </x:c>
      <x:c r="B37" s="1" t="n">
        <x:f>IF(B33="Ready",B18*B13,"n.a.")</x:f>
        <x:v>96</x:v>
      </x:c>
      <x:c r="C37" s="1" t="str">
        <x:v>wells</x:v>
      </x:c>
      <x:c r="D37" s="1"/>
      <x:c r="E37" s="1"/>
      <x:c r="F37" s="1"/>
    </x:row>
    <x:row r="38" ht="23" customHeight="1">
      <x:c r="A38" s="1" t="str">
        <x:v>Distinct clones per plate</x:v>
      </x:c>
      <x:c r="B38" s="1" t="n">
        <x:f>IF(B33="Ready",INT((B13-B14)/(B15*B16)),"n.a.")</x:f>
        <x:v>40</x:v>
      </x:c>
      <x:c r="C38" s="1" t="str">
        <x:v>clones</x:v>
      </x:c>
      <x:c r="D38" s="1"/>
      <x:c r="E38" s="1"/>
      <x:c r="F38" s="1"/>
    </x:row>
    <x:row r="39" ht="23" customHeight="1">
      <x:c r="A39" s="1" t="str">
        <x:v>Primary plus repeat preparations</x:v>
      </x:c>
      <x:c r="B39" s="1" t="n">
        <x:f>IF(B33="Ready",(B12+B18)*B38*B16,"n.a.")</x:f>
        <x:v>200</x:v>
      </x:c>
      <x:c r="C39" s="1" t="str">
        <x:v>preparations</x:v>
      </x:c>
      <x:c r="D39" s="1"/>
      <x:c r="E39" s="1" t="str">
        <x:v>Controls, plate setup and general supplies are covered by assay costs/labor.</x:v>
      </x:c>
      <x:c r="F39" s="1"/>
    </x:row>
    <x:row r="40" ht="23" customHeight="1">
      <x:c r="A40" s="1" t="str">
        <x:v>Planned distinct clones</x:v>
      </x:c>
      <x:c r="B40" s="1" t="n">
        <x:f>IF(B33="Ready",B12*B38,"n.a.")</x:f>
        <x:v>160</x:v>
      </x:c>
      <x:c r="C40" s="1" t="str">
        <x:v>clones</x:v>
      </x:c>
      <x:c r="D40" s="1"/>
      <x:c r="E40" s="1"/>
      <x:c r="F40" s="1"/>
    </x:row>
    <x:row r="41" ht="23" customHeight="1">
      <x:c r="A41" s="1" t="str">
        <x:v>Expected usable distinct clones</x:v>
      </x:c>
      <x:c r="B41" s="1" t="n">
        <x:f>IF(B33="Ready",B40*B17,"n.a.")</x:f>
        <x:v>144</x:v>
      </x:c>
      <x:c r="C41" s="1" t="str">
        <x:v>clones</x:v>
      </x:c>
      <x:c r="D41" s="1"/>
      <x:c r="E41" s="1" t="str">
        <x:v>Expected value, not a guarantee of distinct genotypes or beneficial hits.</x:v>
      </x:c>
      <x:c r="F41" s="1"/>
    </x:row>
    <x:row r="42" ht="23" customHeight="1">
      <x:c r="A42" s="1" t="str">
        <x:v>Confirmation preparations</x:v>
      </x:c>
      <x:c r="B42" s="1" t="n">
        <x:f>IF(B33="Ready",B19*B20,"n.a.")</x:f>
        <x:v>24</x:v>
      </x:c>
      <x:c r="C42" s="1" t="str">
        <x:v>preparations</x:v>
      </x:c>
      <x:c r="D42" s="1"/>
      <x:c r="E42" s="1"/>
      <x:c r="F42" s="1"/>
    </x:row>
    <x:row r="43" ht="23" customHeight="1">
      <x:c r="A43" s="1"/>
      <x:c r="B43" s="1"/>
      <x:c r="C43" s="1"/>
      <x:c r="D43" s="1"/>
      <x:c r="E43" s="1"/>
      <x:c r="F43" s="1"/>
    </x:row>
    <x:row r="44" ht="25" customHeight="1">
      <x:c r="A44" s="6" t="str">
        <x:v>Recurring cost</x:v>
      </x:c>
      <x:c r="B44" s="6" t="str">
        <x:v>NOK</x:v>
      </x:c>
      <x:c r="C44" s="6" t="str"/>
      <x:c r="D44" s="1"/>
      <x:c r="E44" s="1"/>
      <x:c r="F44" s="1"/>
    </x:row>
    <x:row r="45" ht="23" customHeight="1">
      <x:c r="A45" s="1" t="str">
        <x:v>Culture and sample preparation</x:v>
      </x:c>
      <x:c r="B45" s="12" t="n">
        <x:f>IF(B33="Ready",B39*B23,"n.a.")</x:f>
        <x:v>4000</x:v>
      </x:c>
      <x:c r="C45" s="1"/>
      <x:c r="D45" s="1"/>
      <x:c r="E45" s="1"/>
      <x:c r="F45" s="1"/>
    </x:row>
    <x:row r="46" ht="23" customHeight="1">
      <x:c r="A46" s="1" t="str">
        <x:v>Primary and repeat assay wells</x:v>
      </x:c>
      <x:c r="B46" s="12" t="n">
        <x:f>IF(B33="Ready",SUM(B36:B37)*B24,"n.a.")</x:f>
        <x:v>1440</x:v>
      </x:c>
      <x:c r="C46" s="1"/>
      <x:c r="D46" s="1"/>
      <x:c r="E46" s="1"/>
      <x:c r="F46" s="1"/>
    </x:row>
    <x:row r="47" ht="23" customHeight="1">
      <x:c r="A47" s="1" t="str">
        <x:v>Library construction</x:v>
      </x:c>
      <x:c r="B47" s="12" t="n">
        <x:f>IF(B33="Ready",B25,"n.a.")</x:f>
        <x:v>1500</x:v>
      </x:c>
      <x:c r="C47" s="1"/>
      <x:c r="D47" s="1"/>
      <x:c r="E47" s="1"/>
      <x:c r="F47" s="1"/>
    </x:row>
    <x:row r="48" ht="23" customHeight="1">
      <x:c r="A48" s="1" t="str">
        <x:v>Sequencing</x:v>
      </x:c>
      <x:c r="B48" s="12" t="n">
        <x:f>IF(B33="Ready",B19*B26,"n.a.")</x:f>
        <x:v>800</x:v>
      </x:c>
      <x:c r="C48" s="1"/>
      <x:c r="D48" s="1"/>
      <x:c r="E48" s="1"/>
      <x:c r="F48" s="1"/>
    </x:row>
    <x:row r="49" ht="23" customHeight="1">
      <x:c r="A49" s="1" t="str">
        <x:v>Confirmation consumables</x:v>
      </x:c>
      <x:c r="B49" s="12" t="n">
        <x:f>IF(B33="Ready",B42*B27,"n.a.")</x:f>
        <x:v>1800</x:v>
      </x:c>
      <x:c r="C49" s="1"/>
      <x:c r="D49" s="1"/>
      <x:c r="E49" s="1"/>
      <x:c r="F49" s="1"/>
    </x:row>
    <x:row r="50" ht="23" customHeight="1">
      <x:c r="A50" s="1" t="str">
        <x:v>Labor</x:v>
      </x:c>
      <x:c r="B50" s="12" t="n">
        <x:f>IF(B33="Ready",B21*B22,"n.a.")</x:f>
        <x:v>10800</x:v>
      </x:c>
      <x:c r="C50" s="1"/>
      <x:c r="D50" s="1"/>
      <x:c r="E50" s="1"/>
      <x:c r="F50" s="1"/>
    </x:row>
    <x:row r="51" ht="23" customHeight="1">
      <x:c r="A51" s="1" t="str">
        <x:v>Reader access</x:v>
      </x:c>
      <x:c r="B51" s="12" t="n">
        <x:f>IF(B33="Ready",B28*B29,"n.a.")</x:f>
        <x:v>450</x:v>
      </x:c>
      <x:c r="C51" s="1"/>
      <x:c r="D51" s="1"/>
      <x:c r="E51" s="1"/>
      <x:c r="F51" s="1"/>
    </x:row>
    <x:row r="52" ht="23" customHeight="1">
      <x:c r="A52" s="1" t="str">
        <x:v>Subtotal</x:v>
      </x:c>
      <x:c r="B52" s="12" t="n">
        <x:f>IF(B33="Ready",SUM(B45:B51),"n.a.")</x:f>
        <x:v>20790</x:v>
      </x:c>
      <x:c r="C52" s="1"/>
      <x:c r="D52" s="1"/>
      <x:c r="E52" s="1"/>
      <x:c r="F52" s="1"/>
    </x:row>
    <x:row r="53" ht="23" customHeight="1">
      <x:c r="A53" s="1" t="str">
        <x:v>Contingency</x:v>
      </x:c>
      <x:c r="B53" s="12" t="n">
        <x:f>IF(B33="Ready",B52*B30,"n.a.")</x:f>
        <x:v>2079</x:v>
      </x:c>
      <x:c r="C53" s="1"/>
      <x:c r="D53" s="1"/>
      <x:c r="E53" s="1"/>
      <x:c r="F53" s="1"/>
    </x:row>
    <x:row r="54" ht="23" customHeight="1">
      <x:c r="A54" s="1" t="str">
        <x:v>Total recurring round cost</x:v>
      </x:c>
      <x:c r="B54" s="12" t="n">
        <x:f>IF(B33="Ready",SUM(B52:B53),"n.a.")</x:f>
        <x:v>22869</x:v>
      </x:c>
      <x:c r="C54" s="1"/>
      <x:c r="D54" s="1"/>
      <x:c r="E54" s="1" t="str">
        <x:v>Taxes, freight and service need inclusion in the replacement inputs.</x:v>
      </x:c>
      <x:c r="F54" s="1"/>
    </x:row>
    <x:row r="55" ht="23" customHeight="1">
      <x:c r="A55" s="1"/>
      <x:c r="B55" s="1"/>
      <x:c r="C55" s="1"/>
      <x:c r="D55" s="1"/>
      <x:c r="E55" s="1"/>
      <x:c r="F55" s="1"/>
    </x:row>
    <x:row r="56" ht="23" customHeight="1">
      <x:c r="A56" s="1"/>
      <x:c r="B56" s="1"/>
      <x:c r="C56" s="1"/>
      <x:c r="D56" s="1"/>
      <x:c r="E56" s="1"/>
      <x:c r="F56" s="1"/>
    </x:row>
    <x:row r="57" ht="23" customHeight="1">
      <x:c r="A57" s="1"/>
      <x:c r="B57" s="1"/>
      <x:c r="C57" s="1"/>
      <x:c r="D57" s="1"/>
      <x:c r="E57" s="1"/>
      <x:c r="F57" s="1"/>
    </x:row>
  </x:sheetData>
  <x:conditionalFormatting sqref="B33:B33">
    <x:cfRule type="containsText" dxfId="0" priority="1" operator="containsText" text="inpu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54A68"/>
  </x:sheetPr>
  <x:sheetViews>
    <x:sheetView showGridLines="0" workbookViewId="0"/>
  </x:sheetViews>
  <x:sheetFormatPr defaultRowHeight="15"/>
  <x:cols>
    <x:col min="1" max="1" width="49" hidden="0" customWidth="1"/>
    <x:col min="2" max="2" width="19" hidden="0" customWidth="1"/>
    <x:col min="3" max="3" width="18" hidden="0" customWidth="1"/>
    <x:col min="4" max="4" width="3" hidden="0" customWidth="1"/>
    <x:col min="5" max="5" width="69" hidden="0" customWidth="1"/>
    <x:col min="7" max="7" width="31" hidden="0" customWidth="1"/>
    <x:col min="8" max="8" width="18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Library coverage</x:v>
      </x:c>
      <x:c r="B2" s="1"/>
      <x:c r="C2" s="1"/>
      <x:c r="D2" s="1"/>
      <x:c r="E2" s="1"/>
      <x:c r="F2" s="1"/>
    </x:row>
    <x:row r="3" ht="23" customHeight="1">
      <x:c r="A3" s="1" t="str">
        <x:v>Independent draws with replacement.</x:v>
      </x:c>
      <x:c r="B3" s="1"/>
      <x:c r="C3" s="1"/>
      <x:c r="D3" s="1"/>
      <x:c r="E3" s="1" t="str">
        <x:v>Method: occupancy probabilities and union bound; see handbook.</x:v>
      </x:c>
      <x:c r="F3" s="1"/>
    </x:row>
    <x:row r="4" ht="23" customHeight="1">
      <x:c r="A4" s="1"/>
      <x:c r="B4" s="1"/>
      <x:c r="C4" s="1"/>
      <x:c r="D4" s="1"/>
      <x:c r="E4" s="1" t="str">
        <x:v>Source: Firth &amp; Patrick (2005), doi:10.1093/bioinformatics/bti516.</x:v>
      </x:c>
      <x:c r="F4" s="1"/>
    </x:row>
    <x:row r="5" ht="23" customHeight="1">
      <x:c r="A5" s="1" t="str">
        <x:v>Uniform: expected fraction</x:v>
      </x:c>
      <x:c r="B5" s="13" t="n">
        <x:f>B19</x:f>
        <x:v>0.9927311432903873</x:v>
      </x:c>
      <x:c r="C5" s="1"/>
      <x:c r="D5" s="1"/>
      <x:c r="E5" s="1"/>
      <x:c r="F5" s="1"/>
    </x:row>
    <x:row r="6" ht="23" customHeight="1">
      <x:c r="A6" s="1" t="str">
        <x:v>Uniform: probability all, lower bound</x:v>
      </x:c>
      <x:c r="B6" s="13" t="n">
        <x:f>B20</x:f>
        <x:v>0.8546228658077455</x:v>
      </x:c>
      <x:c r="C6" s="1"/>
      <x:c r="D6" s="1"/>
      <x:c r="E6" s="1"/>
      <x:c r="F6" s="1"/>
    </x:row>
    <x:row r="7" ht="23" customHeight="1">
      <x:c r="A7" s="1" t="str">
        <x:v>Uniform: probability all, upper bound</x:v>
      </x:c>
      <x:c r="B7" s="13" t="n">
        <x:f>B21</x:f>
        <x:v>0.9927311432903873</x:v>
      </x:c>
      <x:c r="C7" s="1"/>
      <x:c r="D7" s="1"/>
      <x:c r="E7" s="1"/>
      <x:c r="F7" s="1"/>
    </x:row>
    <x:row r="8" ht="23" customHeight="1">
      <x:c r="A8" s="1" t="str">
        <x:v>NNK: expected fraction</x:v>
      </x:c>
      <x:c r="B8" s="13" t="n">
        <x:f>H43</x:f>
        <x:v>0.9710028541041866</x:v>
      </x:c>
      <x:c r="C8" s="1"/>
      <x:c r="D8" s="1"/>
      <x:c r="E8" s="1"/>
      <x:c r="F8" s="1"/>
    </x:row>
    <x:row r="9" ht="23" customHeight="1">
      <x:c r="A9" s="1" t="str">
        <x:v>NNK: probability all, lower bound</x:v>
      </x:c>
      <x:c r="B9" s="13" t="n">
        <x:f>H44</x:f>
        <x:v>0.4200570820837335</x:v>
      </x:c>
      <x:c r="C9" s="1"/>
      <x:c r="D9" s="1"/>
      <x:c r="E9" s="1"/>
      <x:c r="F9" s="1"/>
    </x:row>
    <x:row r="10" ht="23" customHeight="1">
      <x:c r="A10" s="1" t="str">
        <x:v>NNK: probability all, upper bound</x:v>
      </x:c>
      <x:c r="B10" s="13" t="n">
        <x:f>H45</x:f>
        <x:v>0.9525403327041213</x:v>
      </x:c>
      <x:c r="C10" s="1"/>
      <x:c r="D10" s="1"/>
      <x:c r="E10" s="1"/>
      <x:c r="F10" s="1"/>
    </x:row>
    <x:row r="11" ht="23" customHeight="1">
      <x:c r="A11" s="1"/>
      <x:c r="B11" s="1"/>
      <x:c r="C11" s="1"/>
      <x:c r="D11" s="1"/>
      <x:c r="E11" s="1"/>
      <x:c r="F11" s="1"/>
    </x:row>
    <x:row r="12" ht="25" customHeight="1">
      <x:c r="A12" s="6" t="str">
        <x:v>Editable assumption</x:v>
      </x:c>
      <x:c r="B12" s="6" t="str">
        <x:v>Value</x:v>
      </x:c>
      <x:c r="C12" s="6" t="str">
        <x:v>Unit</x:v>
      </x:c>
      <x:c r="D12" s="1"/>
      <x:c r="E12" s="1"/>
      <x:c r="F12" s="1"/>
    </x:row>
    <x:row r="13" ht="23" customHeight="1">
      <x:c r="A13" s="1" t="str">
        <x:v>Uniform target variant count</x:v>
      </x:c>
      <x:c r="B13" s="10" t="n">
        <x:v>20</x:v>
      </x:c>
      <x:c r="C13" s="1" t="str">
        <x:v>variants</x:v>
      </x:c>
      <x:c r="D13" s="1"/>
      <x:c r="E13" s="1"/>
      <x:c r="F13" s="1"/>
    </x:row>
    <x:row r="14" ht="23" customHeight="1">
      <x:c r="A14" s="1" t="str">
        <x:v>Independent draws</x:v>
      </x:c>
      <x:c r="B14" s="10" t="n">
        <x:v>96</x:v>
      </x:c>
      <x:c r="C14" s="1" t="str">
        <x:v>clones</x:v>
      </x:c>
      <x:c r="D14" s="1"/>
      <x:c r="E14" s="1"/>
      <x:c r="F14" s="1"/>
    </x:row>
    <x:row r="15" ht="23" customHeight="1">
      <x:c r="A15" s="1" t="str">
        <x:v>Additional off-target fraction</x:v>
      </x:c>
      <x:c r="B15" s="11" t="n">
        <x:v>0</x:v>
      </x:c>
      <x:c r="C15" s="1" t="str">
        <x:v>fraction</x:v>
      </x:c>
      <x:c r="D15" s="1"/>
      <x:c r="E15" s="1" t="str">
        <x:v>For NNK, the stop codon is already included; do not count it again.</x:v>
      </x:c>
      <x:c r="F15" s="1"/>
    </x:row>
    <x:row r="16" ht="23" customHeight="1">
      <x:c r="A16" s="1" t="str">
        <x:v>Required probability-all lower bound</x:v>
      </x:c>
      <x:c r="B16" s="11" t="n">
        <x:v>0.95</x:v>
      </x:c>
      <x:c r="C16" s="1" t="str">
        <x:v>fraction</x:v>
      </x:c>
      <x:c r="D16" s="1"/>
      <x:c r="E16" s="1"/>
      <x:c r="F16" s="1"/>
    </x:row>
    <x:row r="17" ht="23" customHeight="1">
      <x:c r="A17" s="1" t="str">
        <x:v>Required expected fraction</x:v>
      </x:c>
      <x:c r="B17" s="11" t="n">
        <x:v>0.95</x:v>
      </x:c>
      <x:c r="C17" s="1" t="str">
        <x:v>fraction</x:v>
      </x:c>
      <x:c r="D17" s="1"/>
      <x:c r="E17" s="1"/>
      <x:c r="F17" s="1"/>
    </x:row>
    <x:row r="18" ht="23" customHeight="1">
      <x:c r="A18" s="1" t="str">
        <x:v>Input status</x:v>
      </x:c>
      <x:c r="B18" s="1" t="str">
        <x:f>IF(COUNT(B13:B17)&lt;&gt;5,"Missing input",IF(OR(B13&lt;1,B13&lt;&gt;INT(B13),B14&lt;0,B14&lt;&gt;INT(B14),B15&lt;0,B15&gt;1,B16&lt;=0,B16&gt;=1,B17&lt;=0,B17&gt;=1),"Invalid input","Ready"))</x:f>
        <x:v>Ready</x:v>
      </x:c>
      <x:c r="C18" s="1"/>
      <x:c r="D18" s="1"/>
      <x:c r="E18" s="1"/>
      <x:c r="F18" s="1"/>
    </x:row>
    <x:row r="19" ht="23" customHeight="1">
      <x:c r="A19" s="1" t="str">
        <x:v>Uniform expected fraction</x:v>
      </x:c>
      <x:c r="B19" s="13" t="n">
        <x:f>IF(B18="Ready",1-(1-(1-B15)/B13)^B14,"n.a.")</x:f>
        <x:v>0.9927311432903873</x:v>
      </x:c>
      <x:c r="C19" s="1"/>
      <x:c r="D19" s="1"/>
      <x:c r="E19" s="1"/>
      <x:c r="F19" s="1"/>
    </x:row>
    <x:row r="20" ht="23" customHeight="1">
      <x:c r="A20" s="1" t="str">
        <x:v>Uniform all: lower bound</x:v>
      </x:c>
      <x:c r="B20" s="13" t="n">
        <x:f>IF(B18="Ready",MAX(0,1-B13*(1-(1-B15)/B13)^B14),"n.a.")</x:f>
        <x:v>0.8546228658077455</x:v>
      </x:c>
      <x:c r="C20" s="1"/>
      <x:c r="D20" s="1"/>
      <x:c r="E20" s="1"/>
      <x:c r="F20" s="1"/>
    </x:row>
    <x:row r="21" ht="23" customHeight="1">
      <x:c r="A21" s="1" t="str">
        <x:v>Uniform all: upper bound</x:v>
      </x:c>
      <x:c r="B21" s="13" t="n">
        <x:f>IF(B18="Ready",1-(1-(1-B15)/B13)^B14,"n.a.")</x:f>
        <x:v>0.9927311432903873</x:v>
      </x:c>
      <x:c r="C21" s="1"/>
      <x:c r="D21" s="1"/>
      <x:c r="E21" s="1"/>
      <x:c r="F21" s="1"/>
    </x:row>
    <x:row r="22" ht="23" customHeight="1">
      <x:c r="A22" s="1" t="str">
        <x:v>Uniform draws for expected fraction</x:v>
      </x:c>
      <x:c r="B22" s="14" t="n">
        <x:f>IF(B18="Ready",IF(B15=1,"Unattainable",IF((1-B15)/B13=1,1,ROUNDUP(LN(1-B17)/LN(1-(1-B15)/B13),0))),"n.a.")</x:f>
        <x:v>59</x:v>
      </x:c>
      <x:c r="C22" s="1"/>
      <x:c r="D22" s="1"/>
      <x:c r="E22" s="1" t="str">
        <x:v>Expected fraction is not the probability of observing every variant.</x:v>
      </x:c>
      <x:c r="F22" s="1"/>
    </x:row>
    <x:row r="23" ht="23" customHeight="1">
      <x:c r="A23" s="1" t="str">
        <x:v>Uniform sufficient draws for all bound</x:v>
      </x:c>
      <x:c r="B23" s="14" t="n">
        <x:f>IF(B18="Ready",IF(B15=1,"Unattainable",IF((1-B15)/B13=1,1,ROUNDUP(LN((1-B16)/B13)/LN(1-(1-B15)/B13),0))),"n.a.")</x:f>
        <x:v>117</x:v>
      </x:c>
      <x:c r="C23" s="1"/>
      <x:c r="D23" s="1"/>
      <x:c r="E23" s="1" t="str">
        <x:v>Sufficient count from a conservative bound, not an exact minimum.</x:v>
      </x:c>
      <x:c r="F23" s="1"/>
    </x:row>
    <x:row r="24" ht="23" customHeight="1">
      <x:c r="A24" s="1"/>
      <x:c r="B24" s="1"/>
      <x:c r="C24" s="1"/>
      <x:c r="D24" s="1"/>
      <x:c r="E24" s="1"/>
      <x:c r="F24" s="1"/>
    </x:row>
    <x:row r="25" ht="25" customHeight="1">
      <x:c r="A25" s="6" t="str">
        <x:v>NNK amino acid</x:v>
      </x:c>
      <x:c r="B25" s="6" t="str">
        <x:v>Codons / 32</x:v>
      </x:c>
      <x:c r="C25" s="6" t="str">
        <x:v>Probability/draw</x:v>
      </x:c>
      <x:c r="D25" s="1"/>
      <x:c r="E25" s="1" t="str">
        <x:v>Probability observed after the selected number of draws</x:v>
      </x:c>
      <x:c r="F25" s="1"/>
    </x:row>
    <x:row r="26" ht="23" customHeight="1">
      <x:c r="A26" s="1" t="str">
        <x:v>A</x:v>
      </x:c>
      <x:c r="B26" s="1" t="n">
        <x:v>2</x:v>
      </x:c>
      <x:c r="C26" s="15" t="n">
        <x:f>IF($B$18="Ready",(1-$B$15)*B26/32,"n.a.")</x:f>
        <x:v>0.0625</x:v>
      </x:c>
      <x:c r="D26" s="1"/>
      <x:c r="E26" s="13" t="n">
        <x:f>IF($B$18="Ready",1-(1-C26)^$B$14,"n.a.")</x:f>
        <x:v>0.9979618200061334</x:v>
      </x:c>
      <x:c r="F26" s="1"/>
    </x:row>
    <x:row r="27" ht="23" customHeight="1">
      <x:c r="A27" s="1" t="str">
        <x:v>C</x:v>
      </x:c>
      <x:c r="B27" s="1" t="n">
        <x:v>1</x:v>
      </x:c>
      <x:c r="C27" s="15" t="n">
        <x:f>IF($B$18="Ready",(1-$B$15)*B27/32,"n.a.")</x:f>
        <x:v>0.03125</x:v>
      </x:c>
      <x:c r="D27" s="1"/>
      <x:c r="E27" s="13" t="n">
        <x:f>IF($B$18="Ready",1-(1-C27)^$B$14,"n.a.")</x:f>
        <x:v>0.9525403327041213</x:v>
      </x:c>
      <x:c r="F27" s="1"/>
    </x:row>
    <x:row r="28" ht="23" customHeight="1">
      <x:c r="A28" s="1" t="str">
        <x:v>D</x:v>
      </x:c>
      <x:c r="B28" s="1" t="n">
        <x:v>1</x:v>
      </x:c>
      <x:c r="C28" s="15" t="n">
        <x:f>IF($B$18="Ready",(1-$B$15)*B28/32,"n.a.")</x:f>
        <x:v>0.03125</x:v>
      </x:c>
      <x:c r="D28" s="1"/>
      <x:c r="E28" s="13" t="n">
        <x:f>IF($B$18="Ready",1-(1-C28)^$B$14,"n.a.")</x:f>
        <x:v>0.9525403327041213</x:v>
      </x:c>
      <x:c r="F28" s="1"/>
    </x:row>
    <x:row r="29" ht="23" customHeight="1">
      <x:c r="A29" s="1" t="str">
        <x:v>E</x:v>
      </x:c>
      <x:c r="B29" s="1" t="n">
        <x:v>1</x:v>
      </x:c>
      <x:c r="C29" s="15" t="n">
        <x:f>IF($B$18="Ready",(1-$B$15)*B29/32,"n.a.")</x:f>
        <x:v>0.03125</x:v>
      </x:c>
      <x:c r="D29" s="1"/>
      <x:c r="E29" s="13" t="n">
        <x:f>IF($B$18="Ready",1-(1-C29)^$B$14,"n.a.")</x:f>
        <x:v>0.9525403327041213</x:v>
      </x:c>
      <x:c r="F29" s="1"/>
    </x:row>
    <x:row r="30" ht="23" customHeight="1">
      <x:c r="A30" s="1" t="str">
        <x:v>F</x:v>
      </x:c>
      <x:c r="B30" s="1" t="n">
        <x:v>1</x:v>
      </x:c>
      <x:c r="C30" s="15" t="n">
        <x:f>IF($B$18="Ready",(1-$B$15)*B30/32,"n.a.")</x:f>
        <x:v>0.03125</x:v>
      </x:c>
      <x:c r="D30" s="1"/>
      <x:c r="E30" s="13" t="n">
        <x:f>IF($B$18="Ready",1-(1-C30)^$B$14,"n.a.")</x:f>
        <x:v>0.9525403327041213</x:v>
      </x:c>
      <x:c r="F30" s="1"/>
    </x:row>
    <x:row r="31" ht="23" customHeight="1">
      <x:c r="A31" s="1" t="str">
        <x:v>G</x:v>
      </x:c>
      <x:c r="B31" s="1" t="n">
        <x:v>2</x:v>
      </x:c>
      <x:c r="C31" s="15" t="n">
        <x:f>IF($B$18="Ready",(1-$B$15)*B31/32,"n.a.")</x:f>
        <x:v>0.0625</x:v>
      </x:c>
      <x:c r="D31" s="1"/>
      <x:c r="E31" s="13" t="n">
        <x:f>IF($B$18="Ready",1-(1-C31)^$B$14,"n.a.")</x:f>
        <x:v>0.9979618200061334</x:v>
      </x:c>
      <x:c r="F31" s="1"/>
    </x:row>
    <x:row r="32" ht="23" customHeight="1">
      <x:c r="A32" s="1" t="str">
        <x:v>H</x:v>
      </x:c>
      <x:c r="B32" s="1" t="n">
        <x:v>1</x:v>
      </x:c>
      <x:c r="C32" s="15" t="n">
        <x:f>IF($B$18="Ready",(1-$B$15)*B32/32,"n.a.")</x:f>
        <x:v>0.03125</x:v>
      </x:c>
      <x:c r="D32" s="1"/>
      <x:c r="E32" s="13" t="n">
        <x:f>IF($B$18="Ready",1-(1-C32)^$B$14,"n.a.")</x:f>
        <x:v>0.9525403327041213</x:v>
      </x:c>
      <x:c r="F32" s="1"/>
    </x:row>
    <x:row r="33" ht="23" customHeight="1">
      <x:c r="A33" s="1" t="str">
        <x:v>I</x:v>
      </x:c>
      <x:c r="B33" s="1" t="n">
        <x:v>1</x:v>
      </x:c>
      <x:c r="C33" s="15" t="n">
        <x:f>IF($B$18="Ready",(1-$B$15)*B33/32,"n.a.")</x:f>
        <x:v>0.03125</x:v>
      </x:c>
      <x:c r="D33" s="1"/>
      <x:c r="E33" s="13" t="n">
        <x:f>IF($B$18="Ready",1-(1-C33)^$B$14,"n.a.")</x:f>
        <x:v>0.9525403327041213</x:v>
      </x:c>
      <x:c r="F33" s="1"/>
    </x:row>
    <x:row r="34" ht="23" customHeight="1">
      <x:c r="A34" s="1" t="str">
        <x:v>K</x:v>
      </x:c>
      <x:c r="B34" s="1" t="n">
        <x:v>1</x:v>
      </x:c>
      <x:c r="C34" s="15" t="n">
        <x:f>IF($B$18="Ready",(1-$B$15)*B34/32,"n.a.")</x:f>
        <x:v>0.03125</x:v>
      </x:c>
      <x:c r="D34" s="1"/>
      <x:c r="E34" s="13" t="n">
        <x:f>IF($B$18="Ready",1-(1-C34)^$B$14,"n.a.")</x:f>
        <x:v>0.9525403327041213</x:v>
      </x:c>
      <x:c r="F34" s="1"/>
    </x:row>
    <x:row r="35" ht="23" customHeight="1">
      <x:c r="A35" s="1" t="str">
        <x:v>L</x:v>
      </x:c>
      <x:c r="B35" s="1" t="n">
        <x:v>3</x:v>
      </x:c>
      <x:c r="C35" s="15" t="n">
        <x:f>IF($B$18="Ready",(1-$B$15)*B35/32,"n.a.")</x:f>
        <x:v>0.09375</x:v>
      </x:c>
      <x:c r="D35" s="1"/>
      <x:c r="E35" s="13" t="n">
        <x:f>IF($B$18="Ready",1-(1-C35)^$B$14,"n.a.")</x:f>
        <x:v>0.9999213298678696</x:v>
      </x:c>
      <x:c r="F35" s="1"/>
    </x:row>
    <x:row r="36" ht="23" customHeight="1">
      <x:c r="A36" s="1" t="str">
        <x:v>M</x:v>
      </x:c>
      <x:c r="B36" s="1" t="n">
        <x:v>1</x:v>
      </x:c>
      <x:c r="C36" s="15" t="n">
        <x:f>IF($B$18="Ready",(1-$B$15)*B36/32,"n.a.")</x:f>
        <x:v>0.03125</x:v>
      </x:c>
      <x:c r="D36" s="1"/>
      <x:c r="E36" s="13" t="n">
        <x:f>IF($B$18="Ready",1-(1-C36)^$B$14,"n.a.")</x:f>
        <x:v>0.9525403327041213</x:v>
      </x:c>
      <x:c r="F36" s="1"/>
    </x:row>
    <x:row r="37" ht="23" customHeight="1">
      <x:c r="A37" s="1" t="str">
        <x:v>N</x:v>
      </x:c>
      <x:c r="B37" s="1" t="n">
        <x:v>1</x:v>
      </x:c>
      <x:c r="C37" s="15" t="n">
        <x:f>IF($B$18="Ready",(1-$B$15)*B37/32,"n.a.")</x:f>
        <x:v>0.03125</x:v>
      </x:c>
      <x:c r="D37" s="1"/>
      <x:c r="E37" s="13" t="n">
        <x:f>IF($B$18="Ready",1-(1-C37)^$B$14,"n.a.")</x:f>
        <x:v>0.9525403327041213</x:v>
      </x:c>
      <x:c r="F37" s="1"/>
    </x:row>
    <x:row r="38" ht="23" customHeight="1">
      <x:c r="A38" s="1" t="str">
        <x:v>P</x:v>
      </x:c>
      <x:c r="B38" s="1" t="n">
        <x:v>2</x:v>
      </x:c>
      <x:c r="C38" s="15" t="n">
        <x:f>IF($B$18="Ready",(1-$B$15)*B38/32,"n.a.")</x:f>
        <x:v>0.0625</x:v>
      </x:c>
      <x:c r="D38" s="1"/>
      <x:c r="E38" s="13" t="n">
        <x:f>IF($B$18="Ready",1-(1-C38)^$B$14,"n.a.")</x:f>
        <x:v>0.9979618200061334</x:v>
      </x:c>
      <x:c r="F38" s="1"/>
    </x:row>
    <x:row r="39" ht="23" customHeight="1">
      <x:c r="A39" s="1" t="str">
        <x:v>Q</x:v>
      </x:c>
      <x:c r="B39" s="1" t="n">
        <x:v>1</x:v>
      </x:c>
      <x:c r="C39" s="15" t="n">
        <x:f>IF($B$18="Ready",(1-$B$15)*B39/32,"n.a.")</x:f>
        <x:v>0.03125</x:v>
      </x:c>
      <x:c r="D39" s="1"/>
      <x:c r="E39" s="13" t="n">
        <x:f>IF($B$18="Ready",1-(1-C39)^$B$14,"n.a.")</x:f>
        <x:v>0.9525403327041213</x:v>
      </x:c>
      <x:c r="F39" s="1"/>
    </x:row>
    <x:row r="40" ht="23" customHeight="1">
      <x:c r="A40" s="1" t="str">
        <x:v>R</x:v>
      </x:c>
      <x:c r="B40" s="1" t="n">
        <x:v>3</x:v>
      </x:c>
      <x:c r="C40" s="15" t="n">
        <x:f>IF($B$18="Ready",(1-$B$15)*B40/32,"n.a.")</x:f>
        <x:v>0.09375</x:v>
      </x:c>
      <x:c r="D40" s="1"/>
      <x:c r="E40" s="13" t="n">
        <x:f>IF($B$18="Ready",1-(1-C40)^$B$14,"n.a.")</x:f>
        <x:v>0.9999213298678696</x:v>
      </x:c>
      <x:c r="F40" s="1"/>
    </x:row>
    <x:row r="41" ht="23" customHeight="1">
      <x:c r="A41" s="1" t="str">
        <x:v>S</x:v>
      </x:c>
      <x:c r="B41" s="1" t="n">
        <x:v>3</x:v>
      </x:c>
      <x:c r="C41" s="15" t="n">
        <x:f>IF($B$18="Ready",(1-$B$15)*B41/32,"n.a.")</x:f>
        <x:v>0.09375</x:v>
      </x:c>
      <x:c r="D41" s="1"/>
      <x:c r="E41" s="13" t="n">
        <x:f>IF($B$18="Ready",1-(1-C41)^$B$14,"n.a.")</x:f>
        <x:v>0.9999213298678696</x:v>
      </x:c>
      <x:c r="F41" s="1"/>
    </x:row>
    <x:row r="42" ht="23" customHeight="1">
      <x:c r="A42" s="1" t="str">
        <x:v>T</x:v>
      </x:c>
      <x:c r="B42" s="1" t="n">
        <x:v>2</x:v>
      </x:c>
      <x:c r="C42" s="15" t="n">
        <x:f>IF($B$18="Ready",(1-$B$15)*B42/32,"n.a.")</x:f>
        <x:v>0.0625</x:v>
      </x:c>
      <x:c r="D42" s="1"/>
      <x:c r="E42" s="13" t="n">
        <x:f>IF($B$18="Ready",1-(1-C42)^$B$14,"n.a.")</x:f>
        <x:v>0.9979618200061334</x:v>
      </x:c>
      <x:c r="F42" s="1"/>
    </x:row>
    <x:row r="43" ht="23" customHeight="1">
      <x:c r="A43" s="1" t="str">
        <x:v>V</x:v>
      </x:c>
      <x:c r="B43" s="1" t="n">
        <x:v>2</x:v>
      </x:c>
      <x:c r="C43" s="15" t="n">
        <x:f>IF($B$18="Ready",(1-$B$15)*B43/32,"n.a.")</x:f>
        <x:v>0.0625</x:v>
      </x:c>
      <x:c r="D43" s="1"/>
      <x:c r="E43" s="13" t="n">
        <x:f>IF($B$18="Ready",1-(1-C43)^$B$14,"n.a.")</x:f>
        <x:v>0.9979618200061334</x:v>
      </x:c>
      <x:c r="F43" s="1"/>
      <x:c r="G43" t="str">
        <x:v>NNK expected fraction</x:v>
      </x:c>
      <x:c r="H43" s="16" t="n">
        <x:f>IF(B18="Ready",AVERAGE(E26:E45),"n.a.")</x:f>
        <x:v>0.9710028541041866</x:v>
      </x:c>
    </x:row>
    <x:row r="44" ht="23" customHeight="1">
      <x:c r="A44" s="1" t="str">
        <x:v>W</x:v>
      </x:c>
      <x:c r="B44" s="1" t="n">
        <x:v>1</x:v>
      </x:c>
      <x:c r="C44" s="15" t="n">
        <x:f>IF($B$18="Ready",(1-$B$15)*B44/32,"n.a.")</x:f>
        <x:v>0.03125</x:v>
      </x:c>
      <x:c r="D44" s="1"/>
      <x:c r="E44" s="13" t="n">
        <x:f>IF($B$18="Ready",1-(1-C44)^$B$14,"n.a.")</x:f>
        <x:v>0.9525403327041213</x:v>
      </x:c>
      <x:c r="F44" s="1"/>
      <x:c r="G44" t="str">
        <x:v>NNK all: lower bound</x:v>
      </x:c>
      <x:c r="H44" s="16" t="n">
        <x:f>IF(B18="Ready",MAX(0,1-20+SUM(E26:E45)),"n.a.")</x:f>
        <x:v>0.4200570820837335</x:v>
      </x:c>
    </x:row>
    <x:row r="45" ht="23" customHeight="1">
      <x:c r="A45" s="1" t="str">
        <x:v>Y</x:v>
      </x:c>
      <x:c r="B45" s="1" t="n">
        <x:v>1</x:v>
      </x:c>
      <x:c r="C45" s="15" t="n">
        <x:f>IF($B$18="Ready",(1-$B$15)*B45/32,"n.a.")</x:f>
        <x:v>0.03125</x:v>
      </x:c>
      <x:c r="D45" s="1"/>
      <x:c r="E45" s="13" t="n">
        <x:f>IF($B$18="Ready",1-(1-C45)^$B$14,"n.a.")</x:f>
        <x:v>0.9525403327041213</x:v>
      </x:c>
      <x:c r="F45" s="1"/>
      <x:c r="G45" t="str">
        <x:v>NNK all: upper bound</x:v>
      </x:c>
      <x:c r="H45" s="16" t="n">
        <x:f>IF(B18="Ready",MIN(E26:E45),"n.a.")</x:f>
        <x:v>0.9525403327041213</x:v>
      </x:c>
    </x:row>
    <x:row r="46" ht="23" customHeight="1">
      <x:c r="A46" s="1"/>
      <x:c r="B46" s="1"/>
      <x:c r="C46" s="1"/>
      <x:c r="D46" s="1"/>
      <x:c r="E46" s="1"/>
      <x:c r="F46" s="1"/>
    </x:row>
    <x:row r="47" ht="23" customHeight="1">
      <x:c r="A47" s="1"/>
      <x:c r="B47" s="1"/>
      <x:c r="C47" s="1"/>
      <x:c r="D47" s="1"/>
      <x:c r="E47" s="1" t="str">
        <x:v>NNK target set includes all 20 amino acids, including the parental residue.</x:v>
      </x:c>
      <x:c r="F47" s="1"/>
    </x:row>
    <x:row r="48" ht="23" customHeight="1">
      <x:c r="A48" s="1"/>
      <x:c r="B48" s="1"/>
      <x:c r="C48" s="1"/>
      <x:c r="D48" s="1"/>
      <x:c r="E48" s="1" t="str">
        <x:v>Stop codon TAG occupies 1/32 of ideal NNK draws.</x:v>
      </x:c>
      <x:c r="F48" s="1"/>
    </x:row>
    <x:row r="49" ht="23" customHeight="1">
      <x:c r="A49" s="1"/>
      <x:c r="B49" s="1"/>
      <x:c r="C49" s="1"/>
      <x:c r="D49" s="1"/>
      <x:c r="E49" s="1" t="str">
        <x:v>For 19 substitutions only, remove the parent amino acid without renormalizing.</x:v>
      </x:c>
      <x:c r="F49" s="1"/>
    </x:row>
  </x:sheetData>
  <x:conditionalFormatting sqref="B18:B18">
    <x:cfRule type="containsText" dxfId="1" priority="1" operator="containsText" text="inpu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54A68"/>
  </x:sheetPr>
  <x:sheetViews>
    <x:sheetView showGridLines="0" workbookViewId="0"/>
  </x:sheetViews>
  <x:sheetFormatPr defaultRowHeight="15"/>
  <x:cols>
    <x:col min="1" max="1" width="49" hidden="0" customWidth="1"/>
    <x:col min="2" max="2" width="23" hidden="0" customWidth="1"/>
    <x:col min="3" max="3" width="12" hidden="0" customWidth="1"/>
    <x:col min="4" max="4" width="19" hidden="0" customWidth="1"/>
    <x:col min="5" max="5" width="19" hidden="0" customWidth="1"/>
    <x:col min="6" max="6" width="50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Equipment acquisition worksheet</x:v>
      </x:c>
      <x:c r="B2" s="1"/>
      <x:c r="C2" s="1"/>
      <x:c r="D2" s="1"/>
      <x:c r="E2" s="1"/>
      <x:c r="F2" s="1"/>
    </x:row>
    <x:row r="3" ht="23" customHeight="1">
      <x:c r="A3" s="1" t="str">
        <x:v>Enter quantities and dated quotes for items to buy.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0" customHeight="1">
      <x:c r="A5" s="6" t="str">
        <x:v>Capability</x:v>
      </x:c>
      <x:c r="B5" s="6" t="str">
        <x:v>Access choice</x:v>
      </x:c>
      <x:c r="C5" s="6" t="str">
        <x:v>Quantity</x:v>
      </x:c>
      <x:c r="D5" s="6" t="str">
        <x:v>Unit cost (NOK)</x:v>
      </x:c>
      <x:c r="E5" s="6" t="str">
        <x:v>Extended cost</x:v>
      </x:c>
      <x:c r="F5" s="6" t="str">
        <x:v>Quote / source / exclusions</x:v>
      </x:c>
    </x:row>
    <x:row r="6" ht="23" customHeight="1">
      <x:c r="A6" s="1" t="str">
        <x:v>Plate reader and software</x:v>
      </x:c>
      <x:c r="B6" s="7" t="str">
        <x:v>Quote needed</x:v>
      </x:c>
      <x:c r="C6" s="10" t="n">
        <x:v>1</x:v>
      </x:c>
      <x:c r="D6" s="17"/>
      <x:c r="E6" s="12" t="str">
        <x:f>IF(B6="Existing / shared",0,IF(OR(B6&lt;&gt;"Buy",COUNT(C6:D6)&lt;&gt;2,C6&lt;0,D6&lt;0,C6&lt;&gt;INT(C6)),"n.a.",C6*D6))</x:f>
        <x:v>n.a.</x:v>
      </x:c>
      <x:c r="F6" s="7"/>
    </x:row>
    <x:row r="7" ht="23" customHeight="1">
      <x:c r="A7" s="1" t="str">
        <x:v>Multichannel pipette</x:v>
      </x:c>
      <x:c r="B7" s="7" t="str">
        <x:v>Quote needed</x:v>
      </x:c>
      <x:c r="C7" s="10" t="n">
        <x:v>1</x:v>
      </x:c>
      <x:c r="D7" s="17"/>
      <x:c r="E7" s="12" t="str">
        <x:f>IF(B7="Existing / shared",0,IF(OR(B7&lt;&gt;"Buy",COUNT(C7:D7)&lt;&gt;2,C7&lt;0,D7&lt;0,C7&lt;&gt;INT(C7)),"n.a.",C7*D7))</x:f>
        <x:v>n.a.</x:v>
      </x:c>
      <x:c r="F7" s="7"/>
    </x:row>
    <x:row r="8" ht="23" customHeight="1">
      <x:c r="A8" s="1" t="str">
        <x:v>Plate centrifuge / carriers</x:v>
      </x:c>
      <x:c r="B8" s="7" t="str">
        <x:v>Quote needed</x:v>
      </x:c>
      <x:c r="C8" s="10" t="n">
        <x:v>1</x:v>
      </x:c>
      <x:c r="D8" s="17"/>
      <x:c r="E8" s="12" t="str">
        <x:f>IF(B8="Existing / shared",0,IF(OR(B8&lt;&gt;"Buy",COUNT(C8:D8)&lt;&gt;2,C8&lt;0,D8&lt;0,C8&lt;&gt;INT(C8)),"n.a.",C8*D8))</x:f>
        <x:v>n.a.</x:v>
      </x:c>
      <x:c r="F8" s="7"/>
    </x:row>
    <x:row r="9" ht="23" customHeight="1">
      <x:c r="A9" s="1" t="str">
        <x:v>Plate shaker / fixtures</x:v>
      </x:c>
      <x:c r="B9" s="7" t="str">
        <x:v>Quote needed</x:v>
      </x:c>
      <x:c r="C9" s="10" t="n">
        <x:v>1</x:v>
      </x:c>
      <x:c r="D9" s="17"/>
      <x:c r="E9" s="12" t="str">
        <x:f>IF(B9="Existing / shared",0,IF(OR(B9&lt;&gt;"Buy",COUNT(C9:D9)&lt;&gt;2,C9&lt;0,D9&lt;0,C9&lt;&gt;INT(C9)),"n.a.",C9*D9))</x:f>
        <x:v>n.a.</x:v>
      </x:c>
      <x:c r="F9" s="7"/>
    </x:row>
    <x:row r="10" ht="23" customHeight="1">
      <x:c r="A10" s="1" t="str">
        <x:v>Temperature control</x:v>
      </x:c>
      <x:c r="B10" s="7" t="str">
        <x:v>Quote needed</x:v>
      </x:c>
      <x:c r="C10" s="10" t="n">
        <x:v>1</x:v>
      </x:c>
      <x:c r="D10" s="17"/>
      <x:c r="E10" s="12" t="str">
        <x:f>IF(B10="Existing / shared",0,IF(OR(B10&lt;&gt;"Buy",COUNT(C10:D10)&lt;&gt;2,C10&lt;0,D10&lt;0,C10&lt;&gt;INT(C10)),"n.a.",C10*D10))</x:f>
        <x:v>n.a.</x:v>
      </x:c>
      <x:c r="F10" s="7"/>
    </x:row>
    <x:row r="11" ht="23" customHeight="1">
      <x:c r="A11" s="1" t="str">
        <x:v>Small-scale purification access</x:v>
      </x:c>
      <x:c r="B11" s="7" t="str">
        <x:v>Quote needed</x:v>
      </x:c>
      <x:c r="C11" s="10" t="n">
        <x:v>1</x:v>
      </x:c>
      <x:c r="D11" s="17"/>
      <x:c r="E11" s="12" t="str">
        <x:f>IF(B11="Existing / shared",0,IF(OR(B11&lt;&gt;"Buy",COUNT(C11:D11)&lt;&gt;2,C11&lt;0,D11&lt;0,C11&lt;&gt;INT(C11)),"n.a.",C11*D11))</x:f>
        <x:v>n.a.</x:v>
      </x:c>
      <x:c r="F11" s="7"/>
    </x:row>
    <x:row r="12" ht="23" customHeight="1">
      <x:c r="A12" s="1" t="str">
        <x:v>Product-analysis access</x:v>
      </x:c>
      <x:c r="B12" s="7" t="str">
        <x:v>Quote needed</x:v>
      </x:c>
      <x:c r="C12" s="10" t="n">
        <x:v>1</x:v>
      </x:c>
      <x:c r="D12" s="17"/>
      <x:c r="E12" s="12" t="str">
        <x:f>IF(B12="Existing / shared",0,IF(OR(B12&lt;&gt;"Buy",COUNT(C12:D12)&lt;&gt;2,C12&lt;0,D12&lt;0,C12&lt;&gt;INT(C12)),"n.a.",C12*D12))</x:f>
        <x:v>n.a.</x:v>
      </x:c>
      <x:c r="F12" s="7"/>
    </x:row>
    <x:row r="13" ht="23" customHeight="1">
      <x:c r="A13" s="1" t="str">
        <x:v>Workstation and backup</x:v>
      </x:c>
      <x:c r="B13" s="7" t="str">
        <x:v>Quote needed</x:v>
      </x:c>
      <x:c r="C13" s="10" t="n">
        <x:v>1</x:v>
      </x:c>
      <x:c r="D13" s="17"/>
      <x:c r="E13" s="12" t="str">
        <x:f>IF(B13="Existing / shared",0,IF(OR(B13&lt;&gt;"Buy",COUNT(C13:D13)&lt;&gt;2,C13&lt;0,D13&lt;0,C13&lt;&gt;INT(C13)),"n.a.",C13*D13))</x:f>
        <x:v>n.a.</x:v>
      </x:c>
      <x:c r="F13" s="7"/>
    </x:row>
    <x:row r="14" ht="23" customHeight="1">
      <x:c r="A14" s="1" t="str">
        <x:v>Training / installation / freight</x:v>
      </x:c>
      <x:c r="B14" s="7" t="str">
        <x:v>Quote needed</x:v>
      </x:c>
      <x:c r="C14" s="10" t="n">
        <x:v>1</x:v>
      </x:c>
      <x:c r="D14" s="17"/>
      <x:c r="E14" s="12" t="str">
        <x:f>IF(B14="Existing / shared",0,IF(OR(B14&lt;&gt;"Buy",COUNT(C14:D14)&lt;&gt;2,C14&lt;0,D14&lt;0,C14&lt;&gt;INT(C14)),"n.a.",C14*D14))</x:f>
        <x:v>n.a.</x:v>
      </x:c>
      <x:c r="F14" s="7"/>
    </x:row>
    <x:row r="15" ht="23" customHeight="1">
      <x:c r="A15" s="1"/>
      <x:c r="B15" s="1"/>
      <x:c r="C15" s="1"/>
      <x:c r="D15" s="12"/>
      <x:c r="E15" s="12"/>
      <x:c r="F15" s="1"/>
    </x:row>
    <x:row r="16" ht="23" customHeight="1">
      <x:c r="A16" s="1"/>
      <x:c r="B16" s="1"/>
      <x:c r="C16" s="1"/>
      <x:c r="D16" s="12"/>
      <x:c r="E16" s="12"/>
      <x:c r="F16" s="1"/>
    </x:row>
    <x:row r="17" ht="23" customHeight="1">
      <x:c r="A17" s="1" t="str">
        <x:v>Total acquisition cost (NOK)</x:v>
      </x:c>
      <x:c r="B17" s="1"/>
      <x:c r="C17" s="1"/>
      <x:c r="D17" s="12"/>
      <x:c r="E17" s="12" t="str">
        <x:f>IF(COUNT(E6:E14)&lt;&gt;9,"Quotes needed",SUM(E6:E14))</x:f>
        <x:v>Quotes needed</x:v>
      </x:c>
      <x:c r="F17" s="1"/>
    </x:row>
    <x:row r="18" ht="23" customHeight="1">
      <x:c r="A18" s="1"/>
      <x:c r="B18" s="1"/>
      <x:c r="C18" s="1"/>
      <x:c r="D18" s="1"/>
      <x:c r="E18" s="1"/>
      <x:c r="F18" s="1"/>
    </x:row>
    <x:row r="19" ht="23" customHeight="1">
      <x:c r="A19" s="1" t="str">
        <x:v>Shared-access charges belong in the round budget.</x:v>
      </x:c>
      <x:c r="B19" s="1"/>
      <x:c r="C19" s="1"/>
      <x:c r="D19" s="1"/>
      <x:c r="E19" s="1"/>
      <x:c r="F19" s="1"/>
    </x:row>
    <x:row r="20" ht="23" customHeight="1">
      <x:c r="A20" s="1" t="str">
        <x:v>A blank purchase quote is unavailable, not free.</x:v>
      </x:c>
      <x:c r="B20" s="1"/>
      <x:c r="C20" s="1"/>
      <x:c r="D20" s="1"/>
      <x:c r="E20" s="1"/>
      <x:c r="F20" s="1"/>
    </x:row>
    <x:row r="21" ht="23" customHeight="1">
      <x:c r="A21" s="1"/>
      <x:c r="B21" s="1"/>
      <x:c r="C21" s="1"/>
      <x:c r="D21" s="1"/>
      <x:c r="E21" s="1"/>
      <x:c r="F21" s="1"/>
    </x:row>
  </x:sheetData>
  <x:conditionalFormatting sqref="E6:E14">
    <x:cfRule type="containsText" dxfId="2" priority="1" operator="containsText" text="n.a."/>
  </x:conditionalFormatting>
  <x:dataValidations count="1">
    <x:dataValidation type="list" sqref="B6:B14">
      <x:formula1>"Existing / shared,Buy,Quote needed"</x:formula1>
    </x:dataValidation>
  </x:dataValidations>
  <x:pageMargins left="0.7" right="0.7" top="0.75" bottom="0.75" header="0.3" footer="0.3"/>
</x:worksheet>
</file>